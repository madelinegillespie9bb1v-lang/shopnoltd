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hopno_Office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Sheet1!$A$2:$W$56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1" l="1"/>
  <c r="I56" i="1" l="1"/>
  <c r="I55" i="1"/>
  <c r="I53" i="1"/>
  <c r="I52" i="1"/>
  <c r="I50" i="1"/>
  <c r="I49" i="1"/>
  <c r="I48" i="1"/>
  <c r="I47" i="1"/>
  <c r="I46" i="1"/>
  <c r="I45" i="1"/>
  <c r="I44" i="1"/>
  <c r="I43" i="1"/>
  <c r="I42" i="1"/>
  <c r="I41" i="1"/>
  <c r="I40" i="1"/>
  <c r="I39" i="1"/>
  <c r="I37" i="1"/>
  <c r="I36" i="1"/>
  <c r="I35" i="1"/>
  <c r="I34" i="1"/>
  <c r="I33" i="1"/>
  <c r="I32" i="1"/>
  <c r="I31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3" i="1"/>
  <c r="I12" i="1"/>
  <c r="I9" i="1"/>
  <c r="I4" i="1"/>
  <c r="J1" i="1"/>
  <c r="G1" i="1"/>
  <c r="I1" i="1" l="1"/>
  <c r="K1" i="1" s="1"/>
</calcChain>
</file>

<file path=xl/sharedStrings.xml><?xml version="1.0" encoding="utf-8"?>
<sst xmlns="http://schemas.openxmlformats.org/spreadsheetml/2006/main" count="431" uniqueCount="120">
  <si>
    <t>Grand Total</t>
  </si>
  <si>
    <t>Total Entry_Work</t>
  </si>
  <si>
    <t>Office Name</t>
  </si>
  <si>
    <t>Description</t>
  </si>
  <si>
    <t>District Name</t>
  </si>
  <si>
    <t>Month Name</t>
  </si>
  <si>
    <t>Date</t>
  </si>
  <si>
    <t>Riaz Bhai Project Name</t>
  </si>
  <si>
    <t>Total  Entry_Work</t>
  </si>
  <si>
    <t>Rate/Entry</t>
  </si>
  <si>
    <t>Total Bill</t>
  </si>
  <si>
    <t>Total Paid</t>
  </si>
  <si>
    <t>Total Due</t>
  </si>
  <si>
    <t>Comment</t>
  </si>
  <si>
    <t>Bill Condition</t>
  </si>
  <si>
    <t>Joma Date</t>
  </si>
  <si>
    <t>Crystal Badda</t>
  </si>
  <si>
    <t>Data Entry</t>
  </si>
  <si>
    <t>All_Previous_Bill_28-11-2024</t>
  </si>
  <si>
    <t>November</t>
  </si>
  <si>
    <t>28-11-2023</t>
  </si>
  <si>
    <t>Due</t>
  </si>
  <si>
    <t>Previous Due</t>
  </si>
  <si>
    <t>14250</t>
  </si>
  <si>
    <t>25348</t>
  </si>
  <si>
    <t>STMS(Zarda) Project_Survey</t>
  </si>
  <si>
    <t>Given Payment</t>
  </si>
  <si>
    <t>December</t>
  </si>
  <si>
    <t>07-12-2023</t>
  </si>
  <si>
    <t>Akk_Entry_FileProjecT</t>
  </si>
  <si>
    <t>Advance</t>
  </si>
  <si>
    <t>January</t>
  </si>
  <si>
    <t>16-01-2024</t>
  </si>
  <si>
    <t>February</t>
  </si>
  <si>
    <t>13-02-2024</t>
  </si>
  <si>
    <t>April</t>
  </si>
  <si>
    <t>04-04-2024</t>
  </si>
  <si>
    <t>Vision'24</t>
  </si>
  <si>
    <t>Hobiganj</t>
  </si>
  <si>
    <t>June</t>
  </si>
  <si>
    <t>08-06-2020</t>
  </si>
  <si>
    <t>Vision'24_Entry</t>
  </si>
  <si>
    <t>12-06-2024</t>
  </si>
  <si>
    <t>July</t>
  </si>
  <si>
    <t>11-07-2024</t>
  </si>
  <si>
    <t>B-Baria</t>
  </si>
  <si>
    <t>16-07-2020</t>
  </si>
  <si>
    <t>Kishoreganj-B-Baria</t>
  </si>
  <si>
    <t>18-07-2020</t>
  </si>
  <si>
    <t>Vision'24_Coding</t>
  </si>
  <si>
    <t>All</t>
  </si>
  <si>
    <t>240</t>
  </si>
  <si>
    <t>Shopno Coding</t>
  </si>
  <si>
    <t>138</t>
  </si>
  <si>
    <t>1531-1646</t>
  </si>
  <si>
    <t>1406-1428</t>
  </si>
  <si>
    <t>Office Coding</t>
  </si>
  <si>
    <t>102</t>
  </si>
  <si>
    <t>1429-1530</t>
  </si>
  <si>
    <t>22-07-2020</t>
  </si>
  <si>
    <t>Vision'24_Convience</t>
  </si>
  <si>
    <t>Kishoreganj</t>
  </si>
  <si>
    <t>30-07-2020</t>
  </si>
  <si>
    <t>August</t>
  </si>
  <si>
    <t>12-08-2024</t>
  </si>
  <si>
    <t>17-08-2020</t>
  </si>
  <si>
    <t>Netrakona</t>
  </si>
  <si>
    <t>26-08-2020</t>
  </si>
  <si>
    <t>Jamalpur</t>
  </si>
  <si>
    <t>September</t>
  </si>
  <si>
    <t>06-09-2020</t>
  </si>
  <si>
    <t>07-09-2020</t>
  </si>
  <si>
    <t>Tangail</t>
  </si>
  <si>
    <t>09-09-2020</t>
  </si>
  <si>
    <t>Mymensingh</t>
  </si>
  <si>
    <t>Double</t>
  </si>
  <si>
    <t>15-09-2020</t>
  </si>
  <si>
    <t>16-09-2020</t>
  </si>
  <si>
    <t>Gazipur</t>
  </si>
  <si>
    <t>18-09-2024</t>
  </si>
  <si>
    <t>21-09-2020</t>
  </si>
  <si>
    <t>Manikganj</t>
  </si>
  <si>
    <t>26-09-2020</t>
  </si>
  <si>
    <t>30-09-2020</t>
  </si>
  <si>
    <t>Dhaka</t>
  </si>
  <si>
    <t>October</t>
  </si>
  <si>
    <t>08-10-2024</t>
  </si>
  <si>
    <t>Chandpur_Cumilla_Dhaka_Lakshmipur_Narayanganj_Sherpur</t>
  </si>
  <si>
    <t>09-10-2024</t>
  </si>
  <si>
    <t>Sherpur</t>
  </si>
  <si>
    <t>16-10-2020</t>
  </si>
  <si>
    <t>Serial Given</t>
  </si>
  <si>
    <t>17-10-2020</t>
  </si>
  <si>
    <t>Vision'24_Serial_Given</t>
  </si>
  <si>
    <t>Feni</t>
  </si>
  <si>
    <t>Chandpur_Dhaka_Feni_Lakshmipur_Narayanganj_Noakhali</t>
  </si>
  <si>
    <t>17-10-2024</t>
  </si>
  <si>
    <t>Feni_Chandpur</t>
  </si>
  <si>
    <t>18-10-2024</t>
  </si>
  <si>
    <t>Lakshmipur_Chandpur</t>
  </si>
  <si>
    <t>22-10-2024</t>
  </si>
  <si>
    <t>Cumilla_Dhaka_Noakhali</t>
  </si>
  <si>
    <t>24-10-2024</t>
  </si>
  <si>
    <t>Lakshmipur</t>
  </si>
  <si>
    <t>28-10-2024</t>
  </si>
  <si>
    <t>Lakshmipur_Cumilla_Noakhali</t>
  </si>
  <si>
    <t>30-10-2024</t>
  </si>
  <si>
    <t>02-11-2020</t>
  </si>
  <si>
    <t>Lakshmipur_Noakhali</t>
  </si>
  <si>
    <t>03-11-2020</t>
  </si>
  <si>
    <t>Cumilla_Dhaka</t>
  </si>
  <si>
    <t>10-11-2020</t>
  </si>
  <si>
    <t>15-11-2020</t>
  </si>
  <si>
    <t>15-12-2024</t>
  </si>
  <si>
    <t>Comilla</t>
  </si>
  <si>
    <t>30-12-2024</t>
  </si>
  <si>
    <t>05-01-2025</t>
  </si>
  <si>
    <t>2024_Crystal Badda</t>
  </si>
  <si>
    <t>37860</t>
  </si>
  <si>
    <t>15-01-2025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</si>
</sst>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49" fontId="3" fillId="0" borderId="0" xfId="0" applyNumberFormat="1" applyFont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abSelected="1" workbookViewId="0">
      <pane xSplit="1" ySplit="2" topLeftCell="E42" activePane="bottomRight" state="frozen"/>
      <selection pane="topRight" activeCell="B1" sqref="B1"/>
      <selection pane="bottomLeft" activeCell="A3" sqref="A3"/>
      <selection pane="bottomRight" activeCell="N57" sqref="N57"/>
    </sheetView>
  </sheetViews>
  <sheetFormatPr defaultRowHeight="15" x14ac:dyDescent="0.25"/>
  <cols>
    <col min="1" max="1" width="20.5703125" bestFit="1" customWidth="1"/>
    <col min="2" max="2" width="14.5703125" bestFit="1" customWidth="1"/>
    <col min="3" max="3" width="56.42578125" bestFit="1" customWidth="1"/>
    <col min="4" max="4" width="16.42578125" bestFit="1" customWidth="1"/>
    <col min="5" max="5" width="10.42578125" bestFit="1" customWidth="1"/>
    <col min="6" max="6" width="30.42578125" bestFit="1" customWidth="1"/>
    <col min="7" max="7" width="22" bestFit="1" customWidth="1"/>
    <col min="8" max="8" width="20.5703125" bestFit="1" customWidth="1"/>
    <col min="9" max="9" width="11.5703125" bestFit="1" customWidth="1"/>
    <col min="10" max="10" width="12.42578125" bestFit="1" customWidth="1"/>
    <col min="11" max="11" width="12.140625" bestFit="1" customWidth="1"/>
    <col min="12" max="12" width="12.28515625" bestFit="1" customWidth="1"/>
    <col min="13" max="13" width="16.7109375" bestFit="1" customWidth="1"/>
    <col min="14" max="14" width="13" bestFit="1" customWidth="1"/>
    <col min="15" max="15" width="12.7109375" bestFit="1" customWidth="1"/>
    <col min="16" max="16" width="6" bestFit="1" customWidth="1"/>
    <col min="17" max="17" width="14.42578125" bestFit="1" customWidth="1"/>
    <col min="18" max="18" width="4" bestFit="1" customWidth="1"/>
    <col min="19" max="20" width="9.7109375" bestFit="1" customWidth="1"/>
    <col min="21" max="21" width="13.140625" bestFit="1" customWidth="1"/>
    <col min="22" max="22" width="4" bestFit="1" customWidth="1"/>
    <col min="23" max="23" width="9.7109375" bestFit="1" customWidth="1"/>
  </cols>
  <sheetData>
    <row r="1" spans="1:23" ht="26.25" x14ac:dyDescent="0.4">
      <c r="A1" s="1" t="s">
        <v>0</v>
      </c>
      <c r="B1" s="2"/>
      <c r="C1" s="2"/>
      <c r="D1" s="2"/>
      <c r="E1" s="3"/>
      <c r="F1" s="4" t="s">
        <v>1</v>
      </c>
      <c r="G1" s="4">
        <f>SUBTOTAL(9,G2:G1048576)</f>
        <v>12513</v>
      </c>
      <c r="H1" s="4" t="s">
        <v>0</v>
      </c>
      <c r="I1" s="4">
        <f>SUBTOTAL(9,I2:I1048576)</f>
        <v>79017.75</v>
      </c>
      <c r="J1" s="4">
        <f>SUBTOTAL(9,J2:J1048576)</f>
        <v>47000</v>
      </c>
      <c r="K1" s="5">
        <f>I1-J1</f>
        <v>32017.75</v>
      </c>
      <c r="L1" s="4"/>
      <c r="M1" s="20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8.75" x14ac:dyDescent="0.3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8" t="s">
        <v>8</v>
      </c>
      <c r="H2" s="8" t="s">
        <v>9</v>
      </c>
      <c r="I2" s="9" t="s">
        <v>10</v>
      </c>
      <c r="J2" s="9" t="s">
        <v>11</v>
      </c>
      <c r="K2" s="8" t="s">
        <v>12</v>
      </c>
      <c r="L2" s="7" t="s">
        <v>13</v>
      </c>
      <c r="M2" s="10" t="s">
        <v>14</v>
      </c>
      <c r="N2" s="10" t="s">
        <v>15</v>
      </c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25">
      <c r="A3" s="11" t="s">
        <v>117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18</v>
      </c>
      <c r="G3" s="12"/>
      <c r="H3" s="12"/>
      <c r="I3" s="13">
        <v>14250</v>
      </c>
      <c r="J3" s="13"/>
      <c r="K3" s="12" t="s">
        <v>21</v>
      </c>
      <c r="L3" s="11"/>
      <c r="M3" s="14"/>
      <c r="N3" s="11" t="s">
        <v>20</v>
      </c>
      <c r="O3" s="14" t="s">
        <v>22</v>
      </c>
      <c r="P3" s="14" t="s">
        <v>23</v>
      </c>
      <c r="Q3" s="14" t="s">
        <v>24</v>
      </c>
      <c r="R3" s="14"/>
      <c r="S3" s="14"/>
      <c r="T3" s="14"/>
      <c r="U3" s="14"/>
      <c r="V3" s="14"/>
      <c r="W3" s="14"/>
    </row>
    <row r="4" spans="1:23" x14ac:dyDescent="0.25">
      <c r="A4" s="11" t="s">
        <v>117</v>
      </c>
      <c r="B4" s="11" t="s">
        <v>17</v>
      </c>
      <c r="C4" s="11" t="s">
        <v>19</v>
      </c>
      <c r="D4" s="11" t="s">
        <v>19</v>
      </c>
      <c r="E4" s="11" t="s">
        <v>20</v>
      </c>
      <c r="F4" s="11" t="s">
        <v>25</v>
      </c>
      <c r="G4" s="12">
        <v>721</v>
      </c>
      <c r="H4" s="12">
        <v>8</v>
      </c>
      <c r="I4" s="13">
        <f>G4*H4</f>
        <v>5768</v>
      </c>
      <c r="J4" s="13"/>
      <c r="K4" s="12" t="s">
        <v>21</v>
      </c>
      <c r="L4" s="11"/>
      <c r="M4" s="14"/>
      <c r="N4" s="11" t="s">
        <v>20</v>
      </c>
      <c r="O4" s="14" t="s">
        <v>22</v>
      </c>
      <c r="P4" s="14" t="s">
        <v>23</v>
      </c>
      <c r="Q4" s="14" t="s">
        <v>24</v>
      </c>
      <c r="R4" s="14"/>
      <c r="S4" s="14"/>
      <c r="T4" s="14"/>
      <c r="U4" s="14"/>
      <c r="V4" s="14"/>
      <c r="W4" s="14"/>
    </row>
    <row r="5" spans="1:23" x14ac:dyDescent="0.25">
      <c r="A5" s="11" t="s">
        <v>117</v>
      </c>
      <c r="B5" s="11" t="s">
        <v>26</v>
      </c>
      <c r="C5" s="11" t="s">
        <v>27</v>
      </c>
      <c r="D5" s="11" t="s">
        <v>27</v>
      </c>
      <c r="E5" s="11" t="s">
        <v>28</v>
      </c>
      <c r="F5" s="11" t="s">
        <v>29</v>
      </c>
      <c r="G5" s="12"/>
      <c r="H5" s="12"/>
      <c r="I5" s="13"/>
      <c r="J5" s="13">
        <v>4000</v>
      </c>
      <c r="K5" s="11"/>
      <c r="L5" s="11" t="s">
        <v>30</v>
      </c>
      <c r="M5" s="14"/>
      <c r="N5" s="11" t="s">
        <v>28</v>
      </c>
      <c r="O5" s="14"/>
      <c r="P5" s="14"/>
      <c r="Q5" s="14"/>
      <c r="R5" s="14"/>
      <c r="S5" s="14"/>
      <c r="T5" s="14"/>
      <c r="U5" s="14"/>
      <c r="V5" s="14"/>
      <c r="W5" s="14"/>
    </row>
    <row r="6" spans="1:23" x14ac:dyDescent="0.25">
      <c r="A6" s="11" t="s">
        <v>117</v>
      </c>
      <c r="B6" s="11" t="s">
        <v>26</v>
      </c>
      <c r="C6" s="11" t="s">
        <v>31</v>
      </c>
      <c r="D6" s="11" t="s">
        <v>31</v>
      </c>
      <c r="E6" s="11" t="s">
        <v>32</v>
      </c>
      <c r="F6" s="11" t="s">
        <v>29</v>
      </c>
      <c r="G6" s="12"/>
      <c r="H6" s="12"/>
      <c r="I6" s="13"/>
      <c r="J6" s="13">
        <v>3000</v>
      </c>
      <c r="K6" s="11"/>
      <c r="L6" s="11" t="s">
        <v>30</v>
      </c>
      <c r="M6" s="14"/>
      <c r="N6" s="11" t="s">
        <v>32</v>
      </c>
      <c r="O6" s="14"/>
      <c r="P6" s="14"/>
      <c r="Q6" s="14"/>
      <c r="R6" s="14"/>
      <c r="S6" s="14"/>
      <c r="T6" s="14"/>
      <c r="U6" s="14"/>
      <c r="V6" s="14"/>
      <c r="W6" s="14"/>
    </row>
    <row r="7" spans="1:23" x14ac:dyDescent="0.25">
      <c r="A7" s="11" t="s">
        <v>117</v>
      </c>
      <c r="B7" s="11" t="s">
        <v>26</v>
      </c>
      <c r="C7" s="11" t="s">
        <v>33</v>
      </c>
      <c r="D7" s="11" t="s">
        <v>33</v>
      </c>
      <c r="E7" s="11" t="s">
        <v>34</v>
      </c>
      <c r="F7" s="11" t="s">
        <v>29</v>
      </c>
      <c r="G7" s="12"/>
      <c r="H7" s="12"/>
      <c r="I7" s="13"/>
      <c r="J7" s="13">
        <v>3000</v>
      </c>
      <c r="K7" s="11"/>
      <c r="L7" s="11" t="s">
        <v>30</v>
      </c>
      <c r="M7" s="14"/>
      <c r="N7" s="11" t="s">
        <v>34</v>
      </c>
      <c r="O7" s="14"/>
      <c r="P7" s="14"/>
      <c r="Q7" s="14"/>
      <c r="R7" s="14"/>
      <c r="S7" s="14"/>
      <c r="T7" s="14"/>
      <c r="U7" s="14"/>
      <c r="V7" s="14"/>
      <c r="W7" s="14"/>
    </row>
    <row r="8" spans="1:23" x14ac:dyDescent="0.25">
      <c r="A8" s="11" t="s">
        <v>117</v>
      </c>
      <c r="B8" s="11" t="s">
        <v>26</v>
      </c>
      <c r="C8" s="11" t="s">
        <v>35</v>
      </c>
      <c r="D8" s="11" t="s">
        <v>35</v>
      </c>
      <c r="E8" s="11" t="s">
        <v>36</v>
      </c>
      <c r="F8" s="11" t="s">
        <v>29</v>
      </c>
      <c r="G8" s="12"/>
      <c r="H8" s="12"/>
      <c r="I8" s="13"/>
      <c r="J8" s="13">
        <v>3000</v>
      </c>
      <c r="K8" s="11"/>
      <c r="L8" s="11" t="s">
        <v>30</v>
      </c>
      <c r="M8" s="14"/>
      <c r="N8" s="11" t="s">
        <v>36</v>
      </c>
      <c r="O8" s="14"/>
      <c r="P8" s="14"/>
      <c r="Q8" s="14"/>
      <c r="R8" s="14"/>
      <c r="S8" s="14"/>
      <c r="T8" s="14"/>
      <c r="U8" s="14"/>
      <c r="V8" s="14"/>
      <c r="W8" s="14"/>
    </row>
    <row r="9" spans="1:23" x14ac:dyDescent="0.25">
      <c r="A9" s="11" t="s">
        <v>117</v>
      </c>
      <c r="B9" s="12" t="s">
        <v>37</v>
      </c>
      <c r="C9" s="11" t="s">
        <v>38</v>
      </c>
      <c r="D9" s="11" t="s">
        <v>39</v>
      </c>
      <c r="E9" s="11" t="s">
        <v>40</v>
      </c>
      <c r="F9" s="12" t="s">
        <v>41</v>
      </c>
      <c r="G9" s="12">
        <v>116</v>
      </c>
      <c r="H9" s="12">
        <v>5.5</v>
      </c>
      <c r="I9" s="13">
        <f>G9*H9</f>
        <v>638</v>
      </c>
      <c r="J9" s="13"/>
      <c r="K9" s="12" t="s">
        <v>21</v>
      </c>
      <c r="L9" s="11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x14ac:dyDescent="0.25">
      <c r="A10" s="11" t="s">
        <v>117</v>
      </c>
      <c r="B10" s="11" t="s">
        <v>26</v>
      </c>
      <c r="C10" s="11" t="s">
        <v>39</v>
      </c>
      <c r="D10" s="11" t="s">
        <v>39</v>
      </c>
      <c r="E10" s="11" t="s">
        <v>42</v>
      </c>
      <c r="F10" s="11" t="s">
        <v>29</v>
      </c>
      <c r="G10" s="12"/>
      <c r="H10" s="12"/>
      <c r="I10" s="13"/>
      <c r="J10" s="13">
        <v>5000</v>
      </c>
      <c r="K10" s="11"/>
      <c r="L10" s="11" t="s">
        <v>30</v>
      </c>
      <c r="M10" s="14"/>
      <c r="N10" s="11" t="s">
        <v>42</v>
      </c>
      <c r="O10" s="14"/>
      <c r="P10" s="14"/>
      <c r="Q10" s="14"/>
      <c r="R10" s="14"/>
      <c r="S10" s="14"/>
      <c r="T10" s="14"/>
      <c r="U10" s="14"/>
      <c r="V10" s="14"/>
      <c r="W10" s="14"/>
    </row>
    <row r="11" spans="1:23" x14ac:dyDescent="0.25">
      <c r="A11" s="11" t="s">
        <v>117</v>
      </c>
      <c r="B11" s="11" t="s">
        <v>26</v>
      </c>
      <c r="C11" s="11" t="s">
        <v>43</v>
      </c>
      <c r="D11" s="11" t="s">
        <v>43</v>
      </c>
      <c r="E11" s="11" t="s">
        <v>44</v>
      </c>
      <c r="F11" s="11" t="s">
        <v>29</v>
      </c>
      <c r="G11" s="12"/>
      <c r="H11" s="12"/>
      <c r="I11" s="13"/>
      <c r="J11" s="13">
        <v>3000</v>
      </c>
      <c r="K11" s="11"/>
      <c r="L11" s="11" t="s">
        <v>30</v>
      </c>
      <c r="M11" s="14"/>
      <c r="N11" s="11" t="s">
        <v>44</v>
      </c>
      <c r="O11" s="14"/>
      <c r="P11" s="14"/>
      <c r="Q11" s="14"/>
      <c r="R11" s="14"/>
      <c r="S11" s="14"/>
      <c r="T11" s="14"/>
      <c r="U11" s="14"/>
      <c r="V11" s="14"/>
      <c r="W11" s="14"/>
    </row>
    <row r="12" spans="1:23" x14ac:dyDescent="0.25">
      <c r="A12" s="11" t="s">
        <v>117</v>
      </c>
      <c r="B12" s="12" t="s">
        <v>37</v>
      </c>
      <c r="C12" s="11" t="s">
        <v>45</v>
      </c>
      <c r="D12" s="11" t="s">
        <v>43</v>
      </c>
      <c r="E12" s="11" t="s">
        <v>46</v>
      </c>
      <c r="F12" s="12" t="s">
        <v>41</v>
      </c>
      <c r="G12" s="12">
        <v>200</v>
      </c>
      <c r="H12" s="12">
        <v>5.5</v>
      </c>
      <c r="I12" s="13">
        <f t="shared" ref="I12:I13" si="0">G12*H12</f>
        <v>1100</v>
      </c>
      <c r="J12" s="13"/>
      <c r="K12" s="12" t="s">
        <v>21</v>
      </c>
      <c r="L12" s="11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x14ac:dyDescent="0.25">
      <c r="A13" s="11" t="s">
        <v>117</v>
      </c>
      <c r="B13" s="12" t="s">
        <v>37</v>
      </c>
      <c r="C13" s="11" t="s">
        <v>47</v>
      </c>
      <c r="D13" s="11" t="s">
        <v>43</v>
      </c>
      <c r="E13" s="11" t="s">
        <v>48</v>
      </c>
      <c r="F13" s="12" t="s">
        <v>49</v>
      </c>
      <c r="G13" s="12">
        <v>138</v>
      </c>
      <c r="H13" s="12">
        <v>2</v>
      </c>
      <c r="I13" s="13">
        <f t="shared" si="0"/>
        <v>276</v>
      </c>
      <c r="J13" s="13"/>
      <c r="K13" s="12" t="s">
        <v>21</v>
      </c>
      <c r="L13" s="11"/>
      <c r="M13" s="14"/>
      <c r="N13" s="14"/>
      <c r="O13" s="14" t="s">
        <v>50</v>
      </c>
      <c r="P13" s="14" t="s">
        <v>51</v>
      </c>
      <c r="Q13" s="14" t="s">
        <v>52</v>
      </c>
      <c r="R13" s="14" t="s">
        <v>53</v>
      </c>
      <c r="S13" s="14" t="s">
        <v>54</v>
      </c>
      <c r="T13" s="14" t="s">
        <v>55</v>
      </c>
      <c r="U13" s="14" t="s">
        <v>56</v>
      </c>
      <c r="V13" s="14" t="s">
        <v>57</v>
      </c>
      <c r="W13" s="14" t="s">
        <v>58</v>
      </c>
    </row>
    <row r="14" spans="1:23" x14ac:dyDescent="0.25">
      <c r="A14" s="11" t="s">
        <v>117</v>
      </c>
      <c r="B14" s="12" t="s">
        <v>37</v>
      </c>
      <c r="C14" s="11" t="s">
        <v>43</v>
      </c>
      <c r="D14" s="11" t="s">
        <v>43</v>
      </c>
      <c r="E14" s="11" t="s">
        <v>59</v>
      </c>
      <c r="F14" s="12" t="s">
        <v>60</v>
      </c>
      <c r="G14" s="12"/>
      <c r="H14" s="12"/>
      <c r="I14" s="13">
        <v>500</v>
      </c>
      <c r="J14" s="13"/>
      <c r="K14" s="12" t="s">
        <v>21</v>
      </c>
      <c r="L14" s="11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x14ac:dyDescent="0.25">
      <c r="A15" s="11" t="s">
        <v>117</v>
      </c>
      <c r="B15" s="12" t="s">
        <v>37</v>
      </c>
      <c r="C15" s="11" t="s">
        <v>61</v>
      </c>
      <c r="D15" s="11" t="s">
        <v>43</v>
      </c>
      <c r="E15" s="11" t="s">
        <v>62</v>
      </c>
      <c r="F15" s="12" t="s">
        <v>41</v>
      </c>
      <c r="G15" s="12">
        <v>367</v>
      </c>
      <c r="H15" s="12">
        <v>5.5</v>
      </c>
      <c r="I15" s="13">
        <f>G15*H15</f>
        <v>2018.5</v>
      </c>
      <c r="J15" s="13"/>
      <c r="K15" s="12" t="s">
        <v>21</v>
      </c>
      <c r="L15" s="11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x14ac:dyDescent="0.25">
      <c r="A16" s="11" t="s">
        <v>117</v>
      </c>
      <c r="B16" s="11" t="s">
        <v>26</v>
      </c>
      <c r="C16" s="11" t="s">
        <v>63</v>
      </c>
      <c r="D16" s="11" t="s">
        <v>63</v>
      </c>
      <c r="E16" s="11" t="s">
        <v>64</v>
      </c>
      <c r="F16" s="11" t="s">
        <v>29</v>
      </c>
      <c r="G16" s="12"/>
      <c r="H16" s="12"/>
      <c r="I16" s="13"/>
      <c r="J16" s="13">
        <v>2000</v>
      </c>
      <c r="K16" s="11"/>
      <c r="L16" s="11" t="s">
        <v>30</v>
      </c>
      <c r="M16" s="14"/>
      <c r="N16" s="11" t="s">
        <v>64</v>
      </c>
      <c r="O16" s="14"/>
      <c r="P16" s="14"/>
      <c r="Q16" s="14"/>
      <c r="R16" s="14"/>
      <c r="S16" s="14"/>
      <c r="T16" s="14"/>
      <c r="U16" s="14"/>
      <c r="V16" s="14"/>
      <c r="W16" s="14"/>
    </row>
    <row r="17" spans="1:23" x14ac:dyDescent="0.25">
      <c r="A17" s="11" t="s">
        <v>117</v>
      </c>
      <c r="B17" s="12" t="s">
        <v>37</v>
      </c>
      <c r="C17" s="11" t="s">
        <v>61</v>
      </c>
      <c r="D17" s="11" t="s">
        <v>63</v>
      </c>
      <c r="E17" s="11" t="s">
        <v>65</v>
      </c>
      <c r="F17" s="12" t="s">
        <v>41</v>
      </c>
      <c r="G17" s="12">
        <v>203</v>
      </c>
      <c r="H17" s="12">
        <v>5.5</v>
      </c>
      <c r="I17" s="13">
        <f t="shared" ref="I17:I29" si="1">G17*H17</f>
        <v>1116.5</v>
      </c>
      <c r="J17" s="13"/>
      <c r="K17" s="12" t="s">
        <v>21</v>
      </c>
      <c r="L17" s="11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x14ac:dyDescent="0.25">
      <c r="A18" s="11" t="s">
        <v>117</v>
      </c>
      <c r="B18" s="12" t="s">
        <v>37</v>
      </c>
      <c r="C18" s="11" t="s">
        <v>45</v>
      </c>
      <c r="D18" s="15" t="s">
        <v>43</v>
      </c>
      <c r="E18" s="11" t="s">
        <v>48</v>
      </c>
      <c r="F18" s="12" t="s">
        <v>41</v>
      </c>
      <c r="G18" s="12">
        <v>193</v>
      </c>
      <c r="H18" s="12">
        <v>5.5</v>
      </c>
      <c r="I18" s="13">
        <f t="shared" si="1"/>
        <v>1061.5</v>
      </c>
      <c r="J18" s="13"/>
      <c r="K18" s="12" t="s">
        <v>21</v>
      </c>
      <c r="L18" s="11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x14ac:dyDescent="0.25">
      <c r="A19" s="11" t="s">
        <v>117</v>
      </c>
      <c r="B19" s="12" t="s">
        <v>37</v>
      </c>
      <c r="C19" s="11" t="s">
        <v>61</v>
      </c>
      <c r="D19" s="15" t="s">
        <v>43</v>
      </c>
      <c r="E19" s="11" t="s">
        <v>48</v>
      </c>
      <c r="F19" s="12" t="s">
        <v>41</v>
      </c>
      <c r="G19" s="12">
        <v>47</v>
      </c>
      <c r="H19" s="12">
        <v>5.5</v>
      </c>
      <c r="I19" s="13">
        <f t="shared" si="1"/>
        <v>258.5</v>
      </c>
      <c r="J19" s="13"/>
      <c r="K19" s="12" t="s">
        <v>21</v>
      </c>
      <c r="L19" s="11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x14ac:dyDescent="0.25">
      <c r="A20" s="11" t="s">
        <v>117</v>
      </c>
      <c r="B20" s="12" t="s">
        <v>37</v>
      </c>
      <c r="C20" s="11" t="s">
        <v>66</v>
      </c>
      <c r="D20" s="11" t="s">
        <v>63</v>
      </c>
      <c r="E20" s="11" t="s">
        <v>67</v>
      </c>
      <c r="F20" s="12" t="s">
        <v>41</v>
      </c>
      <c r="G20" s="12">
        <v>451</v>
      </c>
      <c r="H20" s="12">
        <v>5.5</v>
      </c>
      <c r="I20" s="13">
        <f t="shared" si="1"/>
        <v>2480.5</v>
      </c>
      <c r="J20" s="13"/>
      <c r="K20" s="12" t="s">
        <v>21</v>
      </c>
      <c r="L20" s="11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x14ac:dyDescent="0.25">
      <c r="A21" s="11" t="s">
        <v>117</v>
      </c>
      <c r="B21" s="12" t="s">
        <v>37</v>
      </c>
      <c r="C21" s="11" t="s">
        <v>45</v>
      </c>
      <c r="D21" s="11" t="s">
        <v>63</v>
      </c>
      <c r="E21" s="11" t="s">
        <v>67</v>
      </c>
      <c r="F21" s="12" t="s">
        <v>41</v>
      </c>
      <c r="G21" s="12">
        <v>8</v>
      </c>
      <c r="H21" s="12">
        <v>5.5</v>
      </c>
      <c r="I21" s="13">
        <f t="shared" si="1"/>
        <v>44</v>
      </c>
      <c r="J21" s="13"/>
      <c r="K21" s="12" t="s">
        <v>21</v>
      </c>
      <c r="L21" s="11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x14ac:dyDescent="0.25">
      <c r="A22" s="11" t="s">
        <v>117</v>
      </c>
      <c r="B22" s="12" t="s">
        <v>37</v>
      </c>
      <c r="C22" s="11" t="s">
        <v>68</v>
      </c>
      <c r="D22" s="11" t="s">
        <v>69</v>
      </c>
      <c r="E22" s="11" t="s">
        <v>70</v>
      </c>
      <c r="F22" s="12" t="s">
        <v>41</v>
      </c>
      <c r="G22" s="12">
        <v>417</v>
      </c>
      <c r="H22" s="12">
        <v>5.5</v>
      </c>
      <c r="I22" s="13">
        <f t="shared" si="1"/>
        <v>2293.5</v>
      </c>
      <c r="J22" s="13"/>
      <c r="K22" s="12" t="s">
        <v>21</v>
      </c>
      <c r="L22" s="11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x14ac:dyDescent="0.25">
      <c r="A23" s="11" t="s">
        <v>117</v>
      </c>
      <c r="B23" s="12" t="s">
        <v>37</v>
      </c>
      <c r="C23" s="11" t="s">
        <v>68</v>
      </c>
      <c r="D23" s="11" t="s">
        <v>69</v>
      </c>
      <c r="E23" s="11" t="s">
        <v>71</v>
      </c>
      <c r="F23" s="12" t="s">
        <v>41</v>
      </c>
      <c r="G23" s="12">
        <v>104</v>
      </c>
      <c r="H23" s="12">
        <v>5.5</v>
      </c>
      <c r="I23" s="13">
        <f t="shared" si="1"/>
        <v>572</v>
      </c>
      <c r="J23" s="13"/>
      <c r="K23" s="12" t="s">
        <v>21</v>
      </c>
      <c r="L23" s="11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x14ac:dyDescent="0.25">
      <c r="A24" s="11" t="s">
        <v>117</v>
      </c>
      <c r="B24" s="12" t="s">
        <v>37</v>
      </c>
      <c r="C24" s="11" t="s">
        <v>72</v>
      </c>
      <c r="D24" s="11" t="s">
        <v>69</v>
      </c>
      <c r="E24" s="11" t="s">
        <v>73</v>
      </c>
      <c r="F24" s="12" t="s">
        <v>41</v>
      </c>
      <c r="G24" s="12">
        <v>219</v>
      </c>
      <c r="H24" s="12">
        <v>5.5</v>
      </c>
      <c r="I24" s="13">
        <f t="shared" si="1"/>
        <v>1204.5</v>
      </c>
      <c r="J24" s="13"/>
      <c r="K24" s="12" t="s">
        <v>21</v>
      </c>
      <c r="L24" s="11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x14ac:dyDescent="0.25">
      <c r="A25" s="11" t="s">
        <v>117</v>
      </c>
      <c r="B25" s="12" t="s">
        <v>37</v>
      </c>
      <c r="C25" s="11" t="s">
        <v>74</v>
      </c>
      <c r="D25" s="11" t="s">
        <v>69</v>
      </c>
      <c r="E25" s="11" t="s">
        <v>73</v>
      </c>
      <c r="F25" s="12" t="s">
        <v>41</v>
      </c>
      <c r="G25" s="12">
        <v>312</v>
      </c>
      <c r="H25" s="12">
        <v>5.5</v>
      </c>
      <c r="I25" s="13">
        <f t="shared" si="1"/>
        <v>1716</v>
      </c>
      <c r="J25" s="13"/>
      <c r="K25" s="12" t="s">
        <v>21</v>
      </c>
      <c r="L25" s="11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x14ac:dyDescent="0.25">
      <c r="A26" s="11" t="s">
        <v>117</v>
      </c>
      <c r="B26" s="12" t="s">
        <v>37</v>
      </c>
      <c r="C26" s="11" t="s">
        <v>66</v>
      </c>
      <c r="D26" s="11" t="s">
        <v>69</v>
      </c>
      <c r="E26" s="11" t="s">
        <v>73</v>
      </c>
      <c r="F26" s="12" t="s">
        <v>41</v>
      </c>
      <c r="G26" s="12">
        <v>20</v>
      </c>
      <c r="H26" s="12">
        <v>5.5</v>
      </c>
      <c r="I26" s="13">
        <f t="shared" si="1"/>
        <v>110</v>
      </c>
      <c r="J26" s="13"/>
      <c r="K26" s="12" t="s">
        <v>21</v>
      </c>
      <c r="L26" s="11"/>
      <c r="M26" s="14" t="s">
        <v>75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x14ac:dyDescent="0.25">
      <c r="A27" s="11" t="s">
        <v>117</v>
      </c>
      <c r="B27" s="12" t="s">
        <v>37</v>
      </c>
      <c r="C27" s="11" t="s">
        <v>72</v>
      </c>
      <c r="D27" s="11" t="s">
        <v>69</v>
      </c>
      <c r="E27" s="11" t="s">
        <v>76</v>
      </c>
      <c r="F27" s="12" t="s">
        <v>41</v>
      </c>
      <c r="G27" s="12">
        <v>245</v>
      </c>
      <c r="H27" s="12">
        <v>5.5</v>
      </c>
      <c r="I27" s="13">
        <f t="shared" si="1"/>
        <v>1347.5</v>
      </c>
      <c r="J27" s="13"/>
      <c r="K27" s="12" t="s">
        <v>21</v>
      </c>
      <c r="L27" s="11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x14ac:dyDescent="0.25">
      <c r="A28" s="11" t="s">
        <v>117</v>
      </c>
      <c r="B28" s="12" t="s">
        <v>37</v>
      </c>
      <c r="C28" s="11" t="s">
        <v>74</v>
      </c>
      <c r="D28" s="11" t="s">
        <v>69</v>
      </c>
      <c r="E28" s="11" t="s">
        <v>77</v>
      </c>
      <c r="F28" s="12" t="s">
        <v>41</v>
      </c>
      <c r="G28" s="12">
        <v>216</v>
      </c>
      <c r="H28" s="12">
        <v>5.5</v>
      </c>
      <c r="I28" s="13">
        <f t="shared" si="1"/>
        <v>1188</v>
      </c>
      <c r="J28" s="13"/>
      <c r="K28" s="12" t="s">
        <v>21</v>
      </c>
      <c r="L28" s="11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x14ac:dyDescent="0.25">
      <c r="A29" s="11" t="s">
        <v>117</v>
      </c>
      <c r="B29" s="12" t="s">
        <v>37</v>
      </c>
      <c r="C29" s="11" t="s">
        <v>78</v>
      </c>
      <c r="D29" s="11" t="s">
        <v>69</v>
      </c>
      <c r="E29" s="11" t="s">
        <v>77</v>
      </c>
      <c r="F29" s="12" t="s">
        <v>41</v>
      </c>
      <c r="G29" s="12">
        <v>218</v>
      </c>
      <c r="H29" s="12">
        <v>5.5</v>
      </c>
      <c r="I29" s="13">
        <f t="shared" si="1"/>
        <v>1199</v>
      </c>
      <c r="J29" s="13"/>
      <c r="K29" s="12" t="s">
        <v>21</v>
      </c>
      <c r="L29" s="11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x14ac:dyDescent="0.25">
      <c r="A30" s="11" t="s">
        <v>117</v>
      </c>
      <c r="B30" s="11" t="s">
        <v>26</v>
      </c>
      <c r="C30" s="11" t="s">
        <v>69</v>
      </c>
      <c r="D30" s="11" t="s">
        <v>69</v>
      </c>
      <c r="E30" s="11" t="s">
        <v>79</v>
      </c>
      <c r="F30" s="11" t="s">
        <v>29</v>
      </c>
      <c r="G30" s="12"/>
      <c r="H30" s="12"/>
      <c r="I30" s="13"/>
      <c r="J30" s="13">
        <v>4000</v>
      </c>
      <c r="K30" s="11"/>
      <c r="L30" s="11" t="s">
        <v>30</v>
      </c>
      <c r="M30" s="14"/>
      <c r="N30" s="11" t="s">
        <v>79</v>
      </c>
      <c r="O30" s="14"/>
      <c r="P30" s="14"/>
      <c r="Q30" s="14"/>
      <c r="R30" s="14"/>
      <c r="S30" s="14"/>
      <c r="T30" s="14"/>
      <c r="U30" s="14"/>
      <c r="V30" s="14"/>
      <c r="W30" s="14"/>
    </row>
    <row r="31" spans="1:23" x14ac:dyDescent="0.25">
      <c r="A31" s="11" t="s">
        <v>117</v>
      </c>
      <c r="B31" s="12" t="s">
        <v>37</v>
      </c>
      <c r="C31" s="11" t="s">
        <v>74</v>
      </c>
      <c r="D31" s="11" t="s">
        <v>69</v>
      </c>
      <c r="E31" s="11" t="s">
        <v>80</v>
      </c>
      <c r="F31" s="12" t="s">
        <v>41</v>
      </c>
      <c r="G31" s="12">
        <v>250</v>
      </c>
      <c r="H31" s="12">
        <v>5.5</v>
      </c>
      <c r="I31" s="13">
        <f t="shared" ref="I31:I37" si="2">G31*H31</f>
        <v>1375</v>
      </c>
      <c r="J31" s="13"/>
      <c r="K31" s="12" t="s">
        <v>21</v>
      </c>
      <c r="L31" s="11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x14ac:dyDescent="0.25">
      <c r="A32" s="11" t="s">
        <v>117</v>
      </c>
      <c r="B32" s="12" t="s">
        <v>37</v>
      </c>
      <c r="C32" s="11" t="s">
        <v>81</v>
      </c>
      <c r="D32" s="11" t="s">
        <v>69</v>
      </c>
      <c r="E32" s="11" t="s">
        <v>80</v>
      </c>
      <c r="F32" s="12" t="s">
        <v>41</v>
      </c>
      <c r="G32" s="12">
        <v>26</v>
      </c>
      <c r="H32" s="12">
        <v>5.5</v>
      </c>
      <c r="I32" s="13">
        <f t="shared" si="2"/>
        <v>143</v>
      </c>
      <c r="J32" s="13"/>
      <c r="K32" s="12" t="s">
        <v>21</v>
      </c>
      <c r="L32" s="11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x14ac:dyDescent="0.25">
      <c r="A33" s="11" t="s">
        <v>117</v>
      </c>
      <c r="B33" s="12" t="s">
        <v>37</v>
      </c>
      <c r="C33" s="11" t="s">
        <v>78</v>
      </c>
      <c r="D33" s="11" t="s">
        <v>69</v>
      </c>
      <c r="E33" s="11" t="s">
        <v>80</v>
      </c>
      <c r="F33" s="12" t="s">
        <v>41</v>
      </c>
      <c r="G33" s="12">
        <v>277</v>
      </c>
      <c r="H33" s="12">
        <v>5.5</v>
      </c>
      <c r="I33" s="13">
        <f t="shared" si="2"/>
        <v>1523.5</v>
      </c>
      <c r="J33" s="13"/>
      <c r="K33" s="12" t="s">
        <v>21</v>
      </c>
      <c r="L33" s="11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x14ac:dyDescent="0.25">
      <c r="A34" s="11" t="s">
        <v>117</v>
      </c>
      <c r="B34" s="12" t="s">
        <v>37</v>
      </c>
      <c r="C34" s="11" t="s">
        <v>74</v>
      </c>
      <c r="D34" s="11" t="s">
        <v>69</v>
      </c>
      <c r="E34" s="11" t="s">
        <v>82</v>
      </c>
      <c r="F34" s="12" t="s">
        <v>41</v>
      </c>
      <c r="G34" s="12">
        <v>73</v>
      </c>
      <c r="H34" s="12">
        <v>5.5</v>
      </c>
      <c r="I34" s="13">
        <f t="shared" si="2"/>
        <v>401.5</v>
      </c>
      <c r="J34" s="13"/>
      <c r="K34" s="12" t="s">
        <v>21</v>
      </c>
      <c r="L34" s="11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x14ac:dyDescent="0.25">
      <c r="A35" s="11" t="s">
        <v>117</v>
      </c>
      <c r="B35" s="12" t="s">
        <v>37</v>
      </c>
      <c r="C35" s="11" t="s">
        <v>78</v>
      </c>
      <c r="D35" s="11" t="s">
        <v>69</v>
      </c>
      <c r="E35" s="11" t="s">
        <v>82</v>
      </c>
      <c r="F35" s="12" t="s">
        <v>41</v>
      </c>
      <c r="G35" s="12">
        <v>21</v>
      </c>
      <c r="H35" s="12">
        <v>5.5</v>
      </c>
      <c r="I35" s="13">
        <f t="shared" si="2"/>
        <v>115.5</v>
      </c>
      <c r="J35" s="13"/>
      <c r="K35" s="12" t="s">
        <v>21</v>
      </c>
      <c r="L35" s="11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x14ac:dyDescent="0.25">
      <c r="A36" s="11" t="s">
        <v>117</v>
      </c>
      <c r="B36" s="12" t="s">
        <v>37</v>
      </c>
      <c r="C36" s="11" t="s">
        <v>81</v>
      </c>
      <c r="D36" s="11" t="s">
        <v>69</v>
      </c>
      <c r="E36" s="11" t="s">
        <v>83</v>
      </c>
      <c r="F36" s="12" t="s">
        <v>41</v>
      </c>
      <c r="G36" s="12">
        <v>267</v>
      </c>
      <c r="H36" s="12">
        <v>5.5</v>
      </c>
      <c r="I36" s="13">
        <f t="shared" si="2"/>
        <v>1468.5</v>
      </c>
      <c r="J36" s="13"/>
      <c r="K36" s="12" t="s">
        <v>21</v>
      </c>
      <c r="L36" s="11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x14ac:dyDescent="0.25">
      <c r="A37" s="11" t="s">
        <v>117</v>
      </c>
      <c r="B37" s="12" t="s">
        <v>37</v>
      </c>
      <c r="C37" s="11" t="s">
        <v>84</v>
      </c>
      <c r="D37" s="11" t="s">
        <v>69</v>
      </c>
      <c r="E37" s="11" t="s">
        <v>83</v>
      </c>
      <c r="F37" s="12" t="s">
        <v>41</v>
      </c>
      <c r="G37" s="12">
        <v>367</v>
      </c>
      <c r="H37" s="12">
        <v>5.5</v>
      </c>
      <c r="I37" s="13">
        <f t="shared" si="2"/>
        <v>2018.5</v>
      </c>
      <c r="J37" s="13"/>
      <c r="K37" s="12" t="s">
        <v>21</v>
      </c>
      <c r="L37" s="11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x14ac:dyDescent="0.25">
      <c r="A38" s="11" t="s">
        <v>117</v>
      </c>
      <c r="B38" s="11" t="s">
        <v>26</v>
      </c>
      <c r="C38" s="11" t="s">
        <v>85</v>
      </c>
      <c r="D38" s="11" t="s">
        <v>85</v>
      </c>
      <c r="E38" s="11" t="s">
        <v>86</v>
      </c>
      <c r="F38" s="11" t="s">
        <v>29</v>
      </c>
      <c r="G38" s="12"/>
      <c r="H38" s="12"/>
      <c r="I38" s="13"/>
      <c r="J38" s="13">
        <v>5000</v>
      </c>
      <c r="K38" s="11"/>
      <c r="L38" s="11" t="s">
        <v>30</v>
      </c>
      <c r="M38" s="14"/>
      <c r="N38" s="11" t="s">
        <v>86</v>
      </c>
      <c r="O38" s="14"/>
      <c r="P38" s="14"/>
      <c r="Q38" s="14"/>
      <c r="R38" s="14"/>
      <c r="S38" s="14"/>
      <c r="T38" s="14"/>
      <c r="U38" s="14"/>
      <c r="V38" s="14"/>
      <c r="W38" s="14"/>
    </row>
    <row r="39" spans="1:23" x14ac:dyDescent="0.25">
      <c r="A39" s="11" t="s">
        <v>117</v>
      </c>
      <c r="B39" s="17" t="s">
        <v>37</v>
      </c>
      <c r="C39" s="16" t="s">
        <v>87</v>
      </c>
      <c r="D39" s="16" t="s">
        <v>85</v>
      </c>
      <c r="E39" s="16" t="s">
        <v>88</v>
      </c>
      <c r="F39" s="17" t="s">
        <v>41</v>
      </c>
      <c r="G39" s="17">
        <v>966</v>
      </c>
      <c r="H39" s="17">
        <v>5.5</v>
      </c>
      <c r="I39" s="13">
        <f t="shared" ref="I39:I50" si="3">G39*H39</f>
        <v>5313</v>
      </c>
      <c r="J39" s="18"/>
      <c r="K39" s="17" t="s">
        <v>21</v>
      </c>
      <c r="L39" s="16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1:23" x14ac:dyDescent="0.25">
      <c r="A40" s="11" t="s">
        <v>117</v>
      </c>
      <c r="B40" s="12" t="s">
        <v>37</v>
      </c>
      <c r="C40" s="11" t="s">
        <v>89</v>
      </c>
      <c r="D40" s="11" t="s">
        <v>85</v>
      </c>
      <c r="E40" s="11" t="s">
        <v>90</v>
      </c>
      <c r="F40" s="12" t="s">
        <v>41</v>
      </c>
      <c r="G40" s="12">
        <v>86</v>
      </c>
      <c r="H40" s="12">
        <v>5.5</v>
      </c>
      <c r="I40" s="13">
        <f t="shared" si="3"/>
        <v>473</v>
      </c>
      <c r="J40" s="13"/>
      <c r="K40" s="12" t="s">
        <v>21</v>
      </c>
      <c r="L40" s="11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x14ac:dyDescent="0.25">
      <c r="A41" s="11" t="s">
        <v>117</v>
      </c>
      <c r="B41" s="12" t="s">
        <v>37</v>
      </c>
      <c r="C41" s="11" t="s">
        <v>91</v>
      </c>
      <c r="D41" s="11" t="s">
        <v>85</v>
      </c>
      <c r="E41" s="11" t="s">
        <v>92</v>
      </c>
      <c r="F41" s="12" t="s">
        <v>93</v>
      </c>
      <c r="G41" s="12">
        <v>451</v>
      </c>
      <c r="H41" s="12">
        <v>0.75</v>
      </c>
      <c r="I41" s="13">
        <f t="shared" si="3"/>
        <v>338.25</v>
      </c>
      <c r="J41" s="13"/>
      <c r="K41" s="12"/>
      <c r="L41" s="11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spans="1:23" x14ac:dyDescent="0.25">
      <c r="A42" s="11" t="s">
        <v>117</v>
      </c>
      <c r="B42" s="12" t="s">
        <v>37</v>
      </c>
      <c r="C42" s="11" t="s">
        <v>94</v>
      </c>
      <c r="D42" s="11" t="s">
        <v>85</v>
      </c>
      <c r="E42" s="11" t="s">
        <v>92</v>
      </c>
      <c r="F42" s="12" t="s">
        <v>41</v>
      </c>
      <c r="G42" s="12">
        <v>67</v>
      </c>
      <c r="H42" s="12">
        <v>5.5</v>
      </c>
      <c r="I42" s="13">
        <f t="shared" si="3"/>
        <v>368.5</v>
      </c>
      <c r="J42" s="13"/>
      <c r="K42" s="12" t="s">
        <v>21</v>
      </c>
      <c r="L42" s="11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spans="1:23" x14ac:dyDescent="0.25">
      <c r="A43" s="11" t="s">
        <v>117</v>
      </c>
      <c r="B43" s="17" t="s">
        <v>37</v>
      </c>
      <c r="C43" s="16" t="s">
        <v>95</v>
      </c>
      <c r="D43" s="16" t="s">
        <v>85</v>
      </c>
      <c r="E43" s="16" t="s">
        <v>96</v>
      </c>
      <c r="F43" s="17" t="s">
        <v>41</v>
      </c>
      <c r="G43" s="17">
        <v>797</v>
      </c>
      <c r="H43" s="17">
        <v>5.5</v>
      </c>
      <c r="I43" s="13">
        <f t="shared" si="3"/>
        <v>4383.5</v>
      </c>
      <c r="J43" s="18"/>
      <c r="K43" s="17" t="s">
        <v>21</v>
      </c>
      <c r="L43" s="16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</row>
    <row r="44" spans="1:23" x14ac:dyDescent="0.25">
      <c r="A44" s="11" t="s">
        <v>117</v>
      </c>
      <c r="B44" s="17" t="s">
        <v>37</v>
      </c>
      <c r="C44" s="16" t="s">
        <v>97</v>
      </c>
      <c r="D44" s="16" t="s">
        <v>85</v>
      </c>
      <c r="E44" s="16" t="s">
        <v>98</v>
      </c>
      <c r="F44" s="17" t="s">
        <v>41</v>
      </c>
      <c r="G44" s="17">
        <v>185</v>
      </c>
      <c r="H44" s="17">
        <v>5.5</v>
      </c>
      <c r="I44" s="13">
        <f t="shared" si="3"/>
        <v>1017.5</v>
      </c>
      <c r="J44" s="18"/>
      <c r="K44" s="17" t="s">
        <v>21</v>
      </c>
      <c r="L44" s="16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3" x14ac:dyDescent="0.25">
      <c r="A45" s="11" t="s">
        <v>117</v>
      </c>
      <c r="B45" s="17" t="s">
        <v>37</v>
      </c>
      <c r="C45" s="16" t="s">
        <v>99</v>
      </c>
      <c r="D45" s="16" t="s">
        <v>85</v>
      </c>
      <c r="E45" s="16" t="s">
        <v>100</v>
      </c>
      <c r="F45" s="17" t="s">
        <v>41</v>
      </c>
      <c r="G45" s="17">
        <v>115</v>
      </c>
      <c r="H45" s="17">
        <v>5.5</v>
      </c>
      <c r="I45" s="13">
        <f t="shared" si="3"/>
        <v>632.5</v>
      </c>
      <c r="J45" s="18"/>
      <c r="K45" s="17" t="s">
        <v>21</v>
      </c>
      <c r="L45" s="16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</row>
    <row r="46" spans="1:23" x14ac:dyDescent="0.25">
      <c r="A46" s="11" t="s">
        <v>117</v>
      </c>
      <c r="B46" s="17" t="s">
        <v>37</v>
      </c>
      <c r="C46" s="16" t="s">
        <v>101</v>
      </c>
      <c r="D46" s="16" t="s">
        <v>85</v>
      </c>
      <c r="E46" s="16" t="s">
        <v>102</v>
      </c>
      <c r="F46" s="17" t="s">
        <v>41</v>
      </c>
      <c r="G46" s="17">
        <v>828</v>
      </c>
      <c r="H46" s="17">
        <v>5.5</v>
      </c>
      <c r="I46" s="13">
        <f t="shared" si="3"/>
        <v>4554</v>
      </c>
      <c r="J46" s="18"/>
      <c r="K46" s="17" t="s">
        <v>21</v>
      </c>
      <c r="L46" s="16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 x14ac:dyDescent="0.25">
      <c r="A47" s="11" t="s">
        <v>117</v>
      </c>
      <c r="B47" s="17" t="s">
        <v>37</v>
      </c>
      <c r="C47" s="16" t="s">
        <v>103</v>
      </c>
      <c r="D47" s="16" t="s">
        <v>85</v>
      </c>
      <c r="E47" s="16" t="s">
        <v>104</v>
      </c>
      <c r="F47" s="17" t="s">
        <v>41</v>
      </c>
      <c r="G47" s="17">
        <v>212</v>
      </c>
      <c r="H47" s="17">
        <v>5.5</v>
      </c>
      <c r="I47" s="13">
        <f t="shared" si="3"/>
        <v>1166</v>
      </c>
      <c r="J47" s="18"/>
      <c r="K47" s="17" t="s">
        <v>21</v>
      </c>
      <c r="L47" s="16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 x14ac:dyDescent="0.25">
      <c r="A48" s="11" t="s">
        <v>117</v>
      </c>
      <c r="B48" s="17" t="s">
        <v>37</v>
      </c>
      <c r="C48" s="16" t="s">
        <v>105</v>
      </c>
      <c r="D48" s="16" t="s">
        <v>85</v>
      </c>
      <c r="E48" s="16" t="s">
        <v>106</v>
      </c>
      <c r="F48" s="17" t="s">
        <v>41</v>
      </c>
      <c r="G48" s="17">
        <v>185</v>
      </c>
      <c r="H48" s="17">
        <v>5.5</v>
      </c>
      <c r="I48" s="13">
        <f t="shared" si="3"/>
        <v>1017.5</v>
      </c>
      <c r="J48" s="18"/>
      <c r="K48" s="17" t="s">
        <v>21</v>
      </c>
      <c r="L48" s="16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1:23" x14ac:dyDescent="0.25">
      <c r="A49" s="11" t="s">
        <v>117</v>
      </c>
      <c r="B49" s="12" t="s">
        <v>37</v>
      </c>
      <c r="C49" s="11" t="s">
        <v>91</v>
      </c>
      <c r="D49" s="11" t="s">
        <v>19</v>
      </c>
      <c r="E49" s="11" t="s">
        <v>107</v>
      </c>
      <c r="F49" s="12" t="s">
        <v>93</v>
      </c>
      <c r="G49" s="12">
        <v>816</v>
      </c>
      <c r="H49" s="12">
        <v>0.75</v>
      </c>
      <c r="I49" s="13">
        <f t="shared" si="3"/>
        <v>612</v>
      </c>
      <c r="J49" s="13"/>
      <c r="K49" s="12"/>
      <c r="L49" s="11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1:23" x14ac:dyDescent="0.25">
      <c r="A50" s="11" t="s">
        <v>117</v>
      </c>
      <c r="B50" s="17" t="s">
        <v>37</v>
      </c>
      <c r="C50" s="16" t="s">
        <v>108</v>
      </c>
      <c r="D50" s="11" t="s">
        <v>19</v>
      </c>
      <c r="E50" s="11" t="s">
        <v>109</v>
      </c>
      <c r="F50" s="17" t="s">
        <v>41</v>
      </c>
      <c r="G50" s="17">
        <v>119</v>
      </c>
      <c r="H50" s="17">
        <v>5.5</v>
      </c>
      <c r="I50" s="13">
        <f t="shared" si="3"/>
        <v>654.5</v>
      </c>
      <c r="J50" s="18"/>
      <c r="K50" s="17" t="s">
        <v>21</v>
      </c>
      <c r="L50" s="16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1:23" x14ac:dyDescent="0.25">
      <c r="A51" s="11" t="s">
        <v>117</v>
      </c>
      <c r="B51" s="17" t="s">
        <v>37</v>
      </c>
      <c r="C51" s="16" t="s">
        <v>110</v>
      </c>
      <c r="D51" s="11" t="s">
        <v>19</v>
      </c>
      <c r="E51" s="11" t="s">
        <v>111</v>
      </c>
      <c r="F51" s="17" t="s">
        <v>41</v>
      </c>
      <c r="G51" s="17">
        <v>1261</v>
      </c>
      <c r="H51" s="17">
        <v>5.5</v>
      </c>
      <c r="I51" s="13">
        <f>G51*H51+145</f>
        <v>7080.5</v>
      </c>
      <c r="J51" s="18"/>
      <c r="K51" s="17" t="s">
        <v>21</v>
      </c>
      <c r="L51" s="16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1:23" x14ac:dyDescent="0.25">
      <c r="A52" s="11" t="s">
        <v>117</v>
      </c>
      <c r="B52" s="17" t="s">
        <v>37</v>
      </c>
      <c r="C52" s="16" t="s">
        <v>84</v>
      </c>
      <c r="D52" s="11" t="s">
        <v>19</v>
      </c>
      <c r="E52" s="11" t="s">
        <v>112</v>
      </c>
      <c r="F52" s="17" t="s">
        <v>41</v>
      </c>
      <c r="G52" s="17">
        <v>112</v>
      </c>
      <c r="H52" s="17">
        <v>5.5</v>
      </c>
      <c r="I52" s="13">
        <f>G52*H52</f>
        <v>616</v>
      </c>
      <c r="J52" s="18"/>
      <c r="K52" s="17" t="s">
        <v>21</v>
      </c>
      <c r="L52" s="16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1:23" x14ac:dyDescent="0.25">
      <c r="A53" s="11" t="s">
        <v>117</v>
      </c>
      <c r="B53" s="17" t="s">
        <v>37</v>
      </c>
      <c r="C53" s="16" t="s">
        <v>114</v>
      </c>
      <c r="D53" s="11" t="s">
        <v>19</v>
      </c>
      <c r="E53" s="11" t="s">
        <v>112</v>
      </c>
      <c r="F53" s="17" t="s">
        <v>41</v>
      </c>
      <c r="G53" s="17">
        <v>81</v>
      </c>
      <c r="H53" s="17">
        <v>5.5</v>
      </c>
      <c r="I53" s="13">
        <f>G53*H53</f>
        <v>445.5</v>
      </c>
      <c r="J53" s="18"/>
      <c r="K53" s="17" t="s">
        <v>21</v>
      </c>
      <c r="L53" s="16"/>
      <c r="M53" s="19" t="s">
        <v>21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1:23" x14ac:dyDescent="0.25">
      <c r="A54" s="11" t="s">
        <v>117</v>
      </c>
      <c r="B54" s="11" t="s">
        <v>26</v>
      </c>
      <c r="C54" s="11" t="s">
        <v>27</v>
      </c>
      <c r="D54" s="11" t="s">
        <v>27</v>
      </c>
      <c r="E54" s="11" t="s">
        <v>113</v>
      </c>
      <c r="F54" s="11" t="s">
        <v>29</v>
      </c>
      <c r="G54" s="12"/>
      <c r="H54" s="12"/>
      <c r="I54" s="13"/>
      <c r="J54" s="13">
        <v>5000</v>
      </c>
      <c r="K54" s="11"/>
      <c r="L54" s="11" t="s">
        <v>30</v>
      </c>
      <c r="M54" s="14" t="s">
        <v>118</v>
      </c>
      <c r="N54" s="11" t="s">
        <v>113</v>
      </c>
      <c r="O54" s="14"/>
      <c r="P54" s="14"/>
      <c r="Q54" s="14"/>
      <c r="R54" s="14"/>
      <c r="S54" s="14"/>
      <c r="T54" s="14"/>
      <c r="U54" s="14"/>
      <c r="V54" s="14"/>
      <c r="W54" s="14"/>
    </row>
    <row r="55" spans="1:23" x14ac:dyDescent="0.25">
      <c r="A55" s="16" t="s">
        <v>16</v>
      </c>
      <c r="B55" s="17" t="s">
        <v>37</v>
      </c>
      <c r="C55" s="16" t="s">
        <v>84</v>
      </c>
      <c r="D55" s="11" t="s">
        <v>27</v>
      </c>
      <c r="E55" s="11" t="s">
        <v>115</v>
      </c>
      <c r="F55" s="17" t="s">
        <v>41</v>
      </c>
      <c r="G55" s="17">
        <v>378</v>
      </c>
      <c r="H55" s="17">
        <v>5.5</v>
      </c>
      <c r="I55" s="13">
        <f t="shared" ref="I55:I56" si="4">G55*H55</f>
        <v>2079</v>
      </c>
      <c r="J55" s="18"/>
      <c r="K55" s="17" t="s">
        <v>21</v>
      </c>
      <c r="L55" s="16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1:23" x14ac:dyDescent="0.25">
      <c r="A56" s="16" t="s">
        <v>16</v>
      </c>
      <c r="B56" s="17" t="s">
        <v>37</v>
      </c>
      <c r="C56" s="16" t="s">
        <v>84</v>
      </c>
      <c r="D56" s="11" t="s">
        <v>31</v>
      </c>
      <c r="E56" s="11" t="s">
        <v>116</v>
      </c>
      <c r="F56" s="17" t="s">
        <v>41</v>
      </c>
      <c r="G56" s="17">
        <v>378</v>
      </c>
      <c r="H56" s="17">
        <v>5.5</v>
      </c>
      <c r="I56" s="13">
        <f t="shared" si="4"/>
        <v>2079</v>
      </c>
      <c r="J56" s="18"/>
      <c r="K56" s="17" t="s">
        <v>21</v>
      </c>
      <c r="L56" s="16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1:23" x14ac:dyDescent="0.25">
      <c r="A57" s="11" t="s">
        <v>16</v>
      </c>
      <c r="B57" s="11" t="s">
        <v>26</v>
      </c>
      <c r="C57" s="11" t="s">
        <v>31</v>
      </c>
      <c r="D57" s="11" t="s">
        <v>31</v>
      </c>
      <c r="E57" s="11" t="s">
        <v>119</v>
      </c>
      <c r="F57" s="11" t="s">
        <v>29</v>
      </c>
      <c r="G57" s="12"/>
      <c r="H57" s="12"/>
      <c r="I57" s="13"/>
      <c r="J57" s="13">
        <v>10000</v>
      </c>
      <c r="K57" s="11"/>
      <c r="L57" s="11" t="s">
        <v>30</v>
      </c>
      <c r="M57" s="14"/>
      <c r="N57" s="11" t="s">
        <v>119</v>
      </c>
      <c r="O57" s="14"/>
      <c r="P57" s="14"/>
      <c r="Q57" s="14"/>
      <c r="R57" s="14"/>
      <c r="S57" s="14"/>
      <c r="T57" s="14"/>
      <c r="U57" s="14"/>
      <c r="V57" s="14"/>
      <c r="W57" s="14"/>
    </row>
  </sheetData>
  <autoFilter ref="A2:W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Md. Asaduzzaman</cp:lastModifiedBy>
  <dcterms:created xsi:type="dcterms:W3CDTF">2024-11-12T16:35:38Z</dcterms:created>
  <dcterms:modified xsi:type="dcterms:W3CDTF">2025-01-15T09:03:04Z</dcterms:modified>
</cp:coreProperties>
</file>